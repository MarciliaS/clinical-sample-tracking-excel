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CAREER_PROJECTS\Excel\"/>
    </mc:Choice>
  </mc:AlternateContent>
  <xr:revisionPtr revIDLastSave="0" documentId="8_{56C66F6D-77E5-4854-A046-5B82E780336D}" xr6:coauthVersionLast="47" xr6:coauthVersionMax="47" xr10:uidLastSave="{00000000-0000-0000-0000-000000000000}"/>
  <bookViews>
    <workbookView xWindow="-110" yWindow="-110" windowWidth="22780" windowHeight="14540" xr2:uid="{D17125BC-92A0-4DAF-87B8-43615511E300}"/>
  </bookViews>
  <sheets>
    <sheet name="Expected_Samples" sheetId="1" r:id="rId1"/>
    <sheet name="Received_Samples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1" l="1"/>
  <c r="I6" i="1"/>
  <c r="I5" i="1"/>
  <c r="F4" i="1"/>
  <c r="I4" i="1"/>
  <c r="I3" i="1"/>
  <c r="I2" i="1"/>
  <c r="F9" i="1"/>
  <c r="F3" i="1"/>
  <c r="F5" i="1"/>
  <c r="F6" i="1"/>
  <c r="F7" i="1"/>
  <c r="F8" i="1"/>
  <c r="F2" i="1"/>
  <c r="E3" i="1"/>
  <c r="E4" i="1"/>
  <c r="E5" i="1"/>
  <c r="E6" i="1"/>
  <c r="E7" i="1"/>
  <c r="E8" i="1"/>
  <c r="E9" i="1"/>
  <c r="E2" i="1"/>
</calcChain>
</file>

<file path=xl/sharedStrings.xml><?xml version="1.0" encoding="utf-8"?>
<sst xmlns="http://schemas.openxmlformats.org/spreadsheetml/2006/main" count="57" uniqueCount="29">
  <si>
    <t>Sample_ID</t>
  </si>
  <si>
    <t>Study_ID</t>
  </si>
  <si>
    <t>Site</t>
  </si>
  <si>
    <t>Visit</t>
  </si>
  <si>
    <t>S001</t>
  </si>
  <si>
    <t>Study_A</t>
  </si>
  <si>
    <t>Site_01</t>
  </si>
  <si>
    <t>Day_1</t>
  </si>
  <si>
    <t>S002</t>
  </si>
  <si>
    <t>S003</t>
  </si>
  <si>
    <t>Site_02</t>
  </si>
  <si>
    <t>S004</t>
  </si>
  <si>
    <t>Day_2</t>
  </si>
  <si>
    <t>S005</t>
  </si>
  <si>
    <t>Study_B</t>
  </si>
  <si>
    <t>S006</t>
  </si>
  <si>
    <t>Site_03</t>
  </si>
  <si>
    <t>S007</t>
  </si>
  <si>
    <t>S008</t>
  </si>
  <si>
    <t>Received_Status</t>
  </si>
  <si>
    <t>Received</t>
  </si>
  <si>
    <t>Status_Check</t>
  </si>
  <si>
    <t>Data Flag</t>
  </si>
  <si>
    <t>Metric</t>
  </si>
  <si>
    <t>Value</t>
  </si>
  <si>
    <t>Total Samples</t>
  </si>
  <si>
    <t>Missing</t>
  </si>
  <si>
    <t>Review Needed</t>
  </si>
  <si>
    <t>Count unique studies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</si>
</sst>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center" wrapText="1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fill>
        <patternFill>
          <bgColor theme="9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06F0F-438F-4F25-9362-85359A9766FB}">
  <dimension ref="A1:I9"/>
  <sheetViews>
    <sheetView tabSelected="1" workbookViewId="0">
      <selection activeCell="H7" sqref="H7"/>
    </sheetView>
  </sheetViews>
  <sheetFormatPr defaultRowHeight="14.5" x14ac:dyDescent="0.35"/>
  <cols>
    <col min="1" max="1" width="10.81640625" customWidth="1"/>
    <col min="2" max="2" width="7.81640625" bestFit="1" customWidth="1"/>
    <col min="3" max="3" width="6.7265625" bestFit="1" customWidth="1"/>
    <col min="4" max="4" width="5.7265625" bestFit="1" customWidth="1"/>
    <col min="5" max="5" width="17.90625" bestFit="1" customWidth="1"/>
    <col min="6" max="6" width="11.36328125" customWidth="1"/>
    <col min="8" max="8" width="22.7265625" customWidth="1"/>
    <col min="10" max="10" width="22.1796875" customWidth="1"/>
  </cols>
  <sheetData>
    <row r="1" spans="1:9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21</v>
      </c>
      <c r="F1" s="3" t="s">
        <v>22</v>
      </c>
      <c r="H1" s="4" t="s">
        <v>23</v>
      </c>
      <c r="I1" s="4" t="s">
        <v>24</v>
      </c>
    </row>
    <row r="2" spans="1:9" ht="17.5" customHeight="1" x14ac:dyDescent="0.35">
      <c r="A2" s="1" t="s">
        <v>4</v>
      </c>
      <c r="B2" s="1" t="s">
        <v>5</v>
      </c>
      <c r="C2" s="1" t="s">
        <v>6</v>
      </c>
      <c r="D2" s="1" t="s">
        <v>7</v>
      </c>
      <c r="E2" s="1" t="str">
        <f>IFERROR(_xlfn.XLOOKUP(A2,Received_Samples!A:A,Received_Samples!B:B),"Missing")</f>
        <v>Received</v>
      </c>
      <c r="F2" s="1" t="str">
        <f>IF(E2="Missing","🔴 Review","Ok")</f>
        <v>Ok</v>
      </c>
      <c r="H2" s="2" t="s">
        <v>25</v>
      </c>
      <c r="I2" s="2">
        <f>COUNTA(A:A)-1</f>
        <v>8</v>
      </c>
    </row>
    <row r="3" spans="1:9" x14ac:dyDescent="0.35">
      <c r="A3" s="1" t="s">
        <v>8</v>
      </c>
      <c r="B3" s="1" t="s">
        <v>5</v>
      </c>
      <c r="C3" s="1" t="s">
        <v>6</v>
      </c>
      <c r="D3" s="1" t="s">
        <v>7</v>
      </c>
      <c r="E3" s="1" t="str">
        <f>IFERROR(_xlfn.XLOOKUP(A3,Received_Samples!A:A,Received_Samples!B:B),"Missing")</f>
        <v>Received</v>
      </c>
      <c r="F3" s="1" t="str">
        <f t="shared" ref="F3:F8" si="0">IF(E3="Missing","🔴 Review","Ok")</f>
        <v>Ok</v>
      </c>
      <c r="H3" s="2" t="s">
        <v>20</v>
      </c>
      <c r="I3" s="2">
        <f>COUNTIFS(E2:E9,"RECEIVED")</f>
        <v>5</v>
      </c>
    </row>
    <row r="4" spans="1:9" x14ac:dyDescent="0.35">
      <c r="A4" s="1" t="s">
        <v>9</v>
      </c>
      <c r="B4" s="1" t="s">
        <v>5</v>
      </c>
      <c r="C4" s="1" t="s">
        <v>10</v>
      </c>
      <c r="D4" s="1" t="s">
        <v>7</v>
      </c>
      <c r="E4" s="1" t="str">
        <f>IFERROR(_xlfn.XLOOKUP(A4,Received_Samples!A:A,Received_Samples!B:B),"Missing")</f>
        <v>Missing</v>
      </c>
      <c r="F4" s="1" t="str">
        <f>IF(E4="Missing","🔴 Review","Ok")</f>
        <v>🔴 Review</v>
      </c>
      <c r="H4" s="2" t="s">
        <v>26</v>
      </c>
      <c r="I4" s="2">
        <f>COUNTIFS(E2:E9,"Missing")</f>
        <v>3</v>
      </c>
    </row>
    <row r="5" spans="1:9" x14ac:dyDescent="0.35">
      <c r="A5" s="1" t="s">
        <v>11</v>
      </c>
      <c r="B5" s="1" t="s">
        <v>5</v>
      </c>
      <c r="C5" s="1" t="s">
        <v>10</v>
      </c>
      <c r="D5" s="1" t="s">
        <v>12</v>
      </c>
      <c r="E5" s="1" t="str">
        <f>IFERROR(_xlfn.XLOOKUP(A5,Received_Samples!A:A,Received_Samples!B:B),"Missing")</f>
        <v>Received</v>
      </c>
      <c r="F5" s="1" t="str">
        <f t="shared" si="0"/>
        <v>Ok</v>
      </c>
      <c r="H5" s="2" t="s">
        <v>27</v>
      </c>
      <c r="I5" s="2">
        <f>COUNTIF(F2:F9,"🔴 Review")</f>
        <v>3</v>
      </c>
    </row>
    <row r="6" spans="1:9" x14ac:dyDescent="0.35">
      <c r="A6" s="1" t="s">
        <v>13</v>
      </c>
      <c r="B6" s="1" t="s">
        <v>14</v>
      </c>
      <c r="C6" s="1" t="s">
        <v>6</v>
      </c>
      <c r="D6" s="1" t="s">
        <v>7</v>
      </c>
      <c r="E6" s="1" t="str">
        <f>IFERROR(_xlfn.XLOOKUP(A6,Received_Samples!A:A,Received_Samples!B:B),"Missing")</f>
        <v>Missing</v>
      </c>
      <c r="F6" s="1" t="str">
        <f t="shared" si="0"/>
        <v>🔴 Review</v>
      </c>
      <c r="H6" s="2" t="s">
        <v>28</v>
      </c>
      <c r="I6" s="1">
        <f>COUNTA(_xlfn.UNIQUE(B2:B9))</f>
        <v>2</v>
      </c>
    </row>
    <row r="7" spans="1:9" x14ac:dyDescent="0.35">
      <c r="A7" s="1" t="s">
        <v>15</v>
      </c>
      <c r="B7" s="1" t="s">
        <v>14</v>
      </c>
      <c r="C7" s="1" t="s">
        <v>16</v>
      </c>
      <c r="D7" s="1" t="s">
        <v>7</v>
      </c>
      <c r="E7" s="1" t="str">
        <f>IFERROR(_xlfn.XLOOKUP(A7,Received_Samples!A:A,Received_Samples!B:B),"Missing")</f>
        <v>Received</v>
      </c>
      <c r="F7" s="1" t="str">
        <f t="shared" si="0"/>
        <v>Ok</v>
      </c>
      <c r="H7" t="str">
        <f>IF(H6=1,"OK - Single Study", "Multiple Studies Detected")</f>
        <v>Multiple Studies Detected</v>
      </c>
    </row>
    <row r="8" spans="1:9" x14ac:dyDescent="0.35">
      <c r="A8" s="1" t="s">
        <v>17</v>
      </c>
      <c r="B8" s="1" t="s">
        <v>14</v>
      </c>
      <c r="C8" s="1" t="s">
        <v>16</v>
      </c>
      <c r="D8" s="1" t="s">
        <v>12</v>
      </c>
      <c r="E8" s="1" t="str">
        <f>IFERROR(_xlfn.XLOOKUP(A8,Received_Samples!A:A,Received_Samples!B:B),"Missing")</f>
        <v>Received</v>
      </c>
      <c r="F8" s="1" t="str">
        <f t="shared" si="0"/>
        <v>Ok</v>
      </c>
    </row>
    <row r="9" spans="1:9" x14ac:dyDescent="0.35">
      <c r="A9" s="1" t="s">
        <v>18</v>
      </c>
      <c r="B9" s="1" t="s">
        <v>14</v>
      </c>
      <c r="C9" s="1" t="s">
        <v>10</v>
      </c>
      <c r="D9" s="1" t="s">
        <v>7</v>
      </c>
      <c r="E9" s="1" t="str">
        <f>IFERROR(_xlfn.XLOOKUP(A9,Received_Samples!A:A,Received_Samples!B:B),"Missing")</f>
        <v>Missing</v>
      </c>
      <c r="F9" s="1" t="str">
        <f>IF(E9="Missing","🔴 Review","Ok")</f>
        <v>🔴 Review</v>
      </c>
    </row>
  </sheetData>
  <conditionalFormatting sqref="F1:F1048576">
    <cfRule type="cellIs" dxfId="1" priority="1" operator="equal">
      <formula>"🔴 Review"</formula>
    </cfRule>
    <cfRule type="cellIs" dxfId="0" priority="2" operator="equal">
      <formula>"Ok"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A6A0C-6E78-4262-AC75-466266987D6D}">
  <dimension ref="A1:B6"/>
  <sheetViews>
    <sheetView workbookViewId="0">
      <selection activeCell="B12" sqref="B12"/>
    </sheetView>
  </sheetViews>
  <sheetFormatPr defaultRowHeight="14.5" x14ac:dyDescent="0.35"/>
  <cols>
    <col min="1" max="1" width="9.36328125" bestFit="1" customWidth="1"/>
    <col min="2" max="2" width="14.26953125" bestFit="1" customWidth="1"/>
  </cols>
  <sheetData>
    <row r="1" spans="1:2" x14ac:dyDescent="0.35">
      <c r="A1" t="s">
        <v>0</v>
      </c>
      <c r="B1" t="s">
        <v>19</v>
      </c>
    </row>
    <row r="2" spans="1:2" x14ac:dyDescent="0.35">
      <c r="A2" t="s">
        <v>4</v>
      </c>
      <c r="B2" t="s">
        <v>20</v>
      </c>
    </row>
    <row r="3" spans="1:2" x14ac:dyDescent="0.35">
      <c r="A3" t="s">
        <v>8</v>
      </c>
      <c r="B3" t="s">
        <v>20</v>
      </c>
    </row>
    <row r="4" spans="1:2" x14ac:dyDescent="0.35">
      <c r="A4" t="s">
        <v>11</v>
      </c>
      <c r="B4" t="s">
        <v>20</v>
      </c>
    </row>
    <row r="5" spans="1:2" x14ac:dyDescent="0.35">
      <c r="A5" t="s">
        <v>15</v>
      </c>
      <c r="B5" t="s">
        <v>20</v>
      </c>
    </row>
    <row r="6" spans="1:2" x14ac:dyDescent="0.35">
      <c r="A6" t="s">
        <v>17</v>
      </c>
      <c r="B6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Expected_Samples</vt:lpstr>
      <vt:lpstr>Received_Samples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Marcilia Alves Machado</dc:creator>
  <cp:lastModifiedBy>Marcilia Alves Machado</cp:lastModifiedBy>
  <dcterms:created xsi:type="dcterms:W3CDTF">2026-03-21T13:31:05Z</dcterms:created>
  <dcterms:modified xsi:type="dcterms:W3CDTF">2026-03-24T00:16:46Z</dcterms:modified>
</cp:coreProperties>
</file>